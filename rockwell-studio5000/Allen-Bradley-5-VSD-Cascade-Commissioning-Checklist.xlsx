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b1e4c5434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855b13eb074956"/>
    <x:sheet xmlns:r="http://schemas.openxmlformats.org/officeDocument/2006/relationships" name="Checklist" sheetId="2" r:id="R20a2c6ba1c4b41a7"/>
    <x:sheet xmlns:r="http://schemas.openxmlformats.org/officeDocument/2006/relationships" name="Options" sheetId="3" r:id="R63dc16411cca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7F1D1D"/>
      </x:patternFill>
    </x:fill>
  </x:fills>
  <x:borders count="24">
    <x:border/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top style="thin">
        <x:color rgb="FF9CA3AF"/>
      </x:top>
    </x:border>
    <x:border>
      <x:bottom style="thin">
        <x:color rgb="FF9CA3AF"/>
      </x:bottom>
    </x:border>
    <x:border>
      <x:left style="thin">
        <x:color rgb="FF1F2937"/>
      </x:left>
      <x:top style="thin">
        <x:color rgb="FF1F2937"/>
      </x:top>
      <x:bottom style="thin">
        <x:color rgb="FF1F2937"/>
      </x:bottom>
    </x:border>
    <x:border>
      <x:top style="thin">
        <x:color rgb="FF1F2937"/>
      </x:top>
      <x:bottom style="thin">
        <x:color rgb="FF1F2937"/>
      </x:bottom>
    </x:border>
    <x:border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9CA3AF"/>
      </x:left>
      <x:right style="thin">
        <x:color rgb="FF9CA3AF"/>
      </x:right>
      <x:top style="thin">
        <x:color rgb="FF9CA3AF"/>
      </x:top>
    </x:border>
    <x:border>
      <x:left style="thin">
        <x:color rgb="FF9CA3AF"/>
      </x:left>
      <x:right style="thin">
        <x:color rgb="FF9CA3AF"/>
      </x:right>
    </x:border>
    <x:border>
      <x:left style="thin">
        <x:color rgb="FF9CA3AF"/>
      </x:left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top" wrapText="1"/>
    </x:xf>
    <x:xf numFmtId="0" fontId="1" fillId="3" borderId="18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horizontal="center" vertical="top" wrapText="1"/>
    </x:xf>
    <x:xf numFmtId="0" fontId="1" fillId="0" borderId="16" xfId="0" applyNumberFormat="1" applyFont="1" applyFill="1" applyBorder="1" applyAlignment="1">
      <x:alignment horizontal="center" vertical="top" wrapText="1"/>
    </x:xf>
    <x:xf numFmtId="0" fontId="1" fillId="0" borderId="19" xfId="0" applyNumberFormat="1" applyFont="1" applyFill="1" applyBorder="1" applyAlignment="1">
      <x:alignment horizontal="center" vertical="top" wrapText="1"/>
    </x:xf>
    <x:xf numFmtId="201" fontId="1" fillId="0" borderId="13" xfId="0" applyNumberFormat="1" applyFont="1" applyFill="1" applyBorder="1" applyAlignment="1">
      <x:alignment vertical="top" wrapText="1"/>
    </x:xf>
    <x:xf numFmtId="201" fontId="1" fillId="0" borderId="16" xfId="0" applyNumberFormat="1" applyFont="1" applyFill="1" applyBorder="1" applyAlignment="1">
      <x:alignment vertical="top" wrapText="1"/>
    </x:xf>
    <x:xf numFmtId="201" fontId="1" fillId="0" borderId="19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/>
    <x:xf numFmtId="0" fontId="1" fillId="0" borderId="22" xfId="0" applyNumberFormat="1" applyFont="1" applyFill="1" applyBorder="1"/>
    <x:xf numFmtId="0" fontId="1" fillId="0" borderId="23" xfId="0" applyNumberFormat="1" applyFont="1" applyFill="1" applyBorder="1"/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a469849b9477a" /><Relationship Type="http://schemas.openxmlformats.org/officeDocument/2006/relationships/theme" Target="/xl/theme/theme1.xml" Id="R74a3e1da647a409a" /><Relationship Type="http://schemas.openxmlformats.org/officeDocument/2006/relationships/sharedStrings" Target="/xl/sharedStrings.xml" Id="R150c8ea8a8754817" /><Relationship Type="http://schemas.openxmlformats.org/officeDocument/2006/relationships/worksheet" Target="/xl/worksheets/sheet1.xml" Id="Ra7855b13eb074956" /><Relationship Type="http://schemas.openxmlformats.org/officeDocument/2006/relationships/worksheet" Target="/xl/worksheets/sheet2.xml" Id="R20a2c6ba1c4b41a7" /><Relationship Type="http://schemas.openxmlformats.org/officeDocument/2006/relationships/worksheet" Target="/xl/worksheets/sheet3.xml" Id="R63dc16411cca4c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4" max="4" width="16.670000076293945" hidden="0" customWidth="1"/>
    <x:col min="5" max="5" width="10" hidden="0" customWidth="1"/>
    <x:col min="7" max="7" width="16.670000076293945" hidden="0" customWidth="1"/>
    <x:col min="8" max="8" width="24.440000534057617" hidden="0" customWidth="1"/>
  </x:cols>
  <x:sheetData>
    <x:row r="1" ht="32" customHeight="1">
      <x:c r="A1" s="5" t="str">
        <x:v>Allen-Bradley 5 VSD Cascade Panel - Commissioning Checklist</x:v>
      </x:c>
      <x:c r="B1" s="5" t="str"/>
      <x:c r="C1" s="5" t="str"/>
      <x:c r="D1" s="5" t="str"/>
      <x:c r="E1" s="5" t="str"/>
      <x:c r="F1" s="5" t="str"/>
      <x:c r="G1" s="5" t="str"/>
      <x:c r="H1" s="5" t="str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2" t="str">
        <x:v>Project</x:v>
      </x:c>
      <x:c r="B3" s="19" t="str"/>
      <x:c r="C3" s="1"/>
      <x:c r="D3" s="39" t="str">
        <x:v>Checklist Summary</x:v>
      </x:c>
      <x:c r="E3" s="40" t="str"/>
      <x:c r="F3" s="1"/>
      <x:c r="G3" s="39" t="str">
        <x:v>Final Signoff</x:v>
      </x:c>
      <x:c r="H3" s="40" t="str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33" t="str">
        <x:v>Site / Area</x:v>
      </x:c>
      <x:c r="B4" s="21" t="str"/>
      <x:c r="C4" s="1"/>
      <x:c r="D4" s="20" t="str">
        <x:v>Total Items</x:v>
      </x:c>
      <x:c r="E4" s="21" t="n">
        <x:f>COUNTA(Checklist!B2:B37)</x:f>
        <x:v>36</x:v>
      </x:c>
      <x:c r="F4" s="1"/>
      <x:c r="G4" s="20" t="str">
        <x:v>Controls Engineer</x:v>
      </x:c>
      <x:c r="H4" s="21" t="str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33" t="str">
        <x:v>Panel ID</x:v>
      </x:c>
      <x:c r="B5" s="21" t="str">
        <x:v>CP_VSD_CASCADE_01</x:v>
      </x:c>
      <x:c r="C5" s="1"/>
      <x:c r="D5" s="20" t="str">
        <x:v>Passed</x:v>
      </x:c>
      <x:c r="E5" s="21" t="n">
        <x:f>COUNTIF(Checklist!E2:E37,"Pass")</x:f>
        <x:v>0</x:v>
      </x:c>
      <x:c r="F5" s="1"/>
      <x:c r="G5" s="20" t="str">
        <x:v>Electrical Engineer</x:v>
      </x:c>
      <x:c r="H5" s="21" t="str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3" t="str">
        <x:v>PLC Platform</x:v>
      </x:c>
      <x:c r="B6" s="21" t="str">
        <x:v>Allen-Bradley / Rockwell Studio 5000</x:v>
      </x:c>
      <x:c r="C6" s="1"/>
      <x:c r="D6" s="20" t="str">
        <x:v>Failed</x:v>
      </x:c>
      <x:c r="E6" s="21" t="n">
        <x:f>COUNTIF(Checklist!E2:E37,"Fail")</x:f>
        <x:v>0</x:v>
      </x:c>
      <x:c r="F6" s="1"/>
      <x:c r="G6" s="20" t="str">
        <x:v>Operations Rep</x:v>
      </x:c>
      <x:c r="H6" s="21" t="str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3" t="str">
        <x:v>Controller</x:v>
      </x:c>
      <x:c r="B7" s="21" t="str"/>
      <x:c r="C7" s="1"/>
      <x:c r="D7" s="20" t="str">
        <x:v>Deferred</x:v>
      </x:c>
      <x:c r="E7" s="21" t="n">
        <x:f>COUNTIF(Checklist!E2:E37,"Deferred")</x:f>
        <x:v>0</x:v>
      </x:c>
      <x:c r="F7" s="1"/>
      <x:c r="G7" s="20" t="str">
        <x:v>Safety Rep</x:v>
      </x:c>
      <x:c r="H7" s="21" t="str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3" t="str">
        <x:v>Commissioning Date</x:v>
      </x:c>
      <x:c r="B8" s="21" t="str"/>
      <x:c r="C8" s="1"/>
      <x:c r="D8" s="20" t="str">
        <x:v>N/A</x:v>
      </x:c>
      <x:c r="E8" s="21" t="n">
        <x:f>COUNTIF(Checklist!E2:E37,"N/A")</x:f>
        <x:v>0</x:v>
      </x:c>
      <x:c r="F8" s="1"/>
      <x:c r="G8" s="22" t="str">
        <x:v>Client / Owner</x:v>
      </x:c>
      <x:c r="H8" s="23" t="str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3" t="str">
        <x:v>Commissioning Lead</x:v>
      </x:c>
      <x:c r="B9" s="21" t="str"/>
      <x:c r="C9" s="1"/>
      <x:c r="D9" s="22" t="str">
        <x:v>Completion</x:v>
      </x:c>
      <x:c r="E9" s="47" t="n">
        <x:f>IF(E4=0,"",E5/E4)</x:f>
        <x:v>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4" t="str">
        <x:v>Revision</x:v>
      </x:c>
      <x:c r="B10" s="23" t="str">
        <x:v>A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" customHeight="1">
      <x:c r="A12" s="44" t="str">
        <x:v>Safety Boundary</x:v>
      </x:c>
      <x:c r="B12" s="45" t="str"/>
      <x:c r="C12" s="45" t="str"/>
      <x:c r="D12" s="45" t="str"/>
      <x:c r="E12" s="45" t="str"/>
      <x:c r="F12" s="45" t="str"/>
      <x:c r="G12" s="45" t="str"/>
      <x:c r="H12" s="46" t="str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" customHeight="1">
      <x:c r="A13" s="20" t="str">
        <x:v>This workbook supports commissioning checks for standard PLC/VSD control. It is not a certified safety design or a substitute for risk assessment, safety validation, proof testing, or site acceptance testing.</x:v>
      </x:c>
      <x:c r="B13" s="30" t="str"/>
      <x:c r="C13" s="30" t="str"/>
      <x:c r="D13" s="30" t="str"/>
      <x:c r="E13" s="30" t="str"/>
      <x:c r="F13" s="30" t="str"/>
      <x:c r="G13" s="30" t="str"/>
      <x:c r="H13" s="21" t="str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" customHeight="1">
      <x:c r="A14" s="20" t="str">
        <x:v>Reset must not start any motor. Safety-rated stop functions such as STO, E-stop, safety relays, and GuardLogix safety tasks must be engineered and validated separately where required.</x:v>
      </x:c>
      <x:c r="B14" s="30" t="str"/>
      <x:c r="C14" s="30" t="str"/>
      <x:c r="D14" s="30" t="str"/>
      <x:c r="E14" s="30" t="str"/>
      <x:c r="F14" s="30" t="str"/>
      <x:c r="G14" s="30" t="str"/>
      <x:c r="H14" s="21" t="str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" customHeight="1">
      <x:c r="A15" s="22" t="str">
        <x:v>Use the Checklist tab to record status, initials, date, evidence, and comments for each commissioning item.</x:v>
      </x:c>
      <x:c r="B15" s="31" t="str"/>
      <x:c r="C15" s="31" t="str"/>
      <x:c r="D15" s="31" t="str"/>
      <x:c r="E15" s="31" t="str"/>
      <x:c r="F15" s="31" t="str"/>
      <x:c r="G15" s="31" t="str"/>
      <x:c r="H15" s="23" t="str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559999465942383" hidden="0" customWidth="1"/>
    <x:col min="2" max="2" width="7.78000020980835" hidden="0" customWidth="1"/>
    <x:col min="3" max="3" width="36.66999816894531" hidden="0" customWidth="1"/>
    <x:col min="4" max="4" width="40" hidden="0" customWidth="1"/>
    <x:col min="5" max="5" width="12.779999732971191" hidden="0" customWidth="1"/>
    <x:col min="6" max="6" width="8.890000343322754" hidden="0" customWidth="1"/>
    <x:col min="7" max="7" width="11.670000076293945" hidden="0" customWidth="1"/>
    <x:col min="8" max="8" width="21.110000610351562" hidden="0" customWidth="1"/>
    <x:col min="9" max="9" width="26.670000076293945" hidden="0" customWidth="1"/>
  </x:cols>
  <x:sheetData>
    <x:row r="1">
      <x:c r="A1" s="58" t="str">
        <x:v>Section</x:v>
      </x:c>
      <x:c r="B1" s="59" t="str">
        <x:v>ID</x:v>
      </x:c>
      <x:c r="C1" s="59" t="str">
        <x:v>Checklist Item</x:v>
      </x:c>
      <x:c r="D1" s="59" t="str">
        <x:v>Acceptance Criteria</x:v>
      </x:c>
      <x:c r="E1" s="59" t="str">
        <x:v>Status</x:v>
      </x:c>
      <x:c r="F1" s="59" t="str">
        <x:v>Initials</x:v>
      </x:c>
      <x:c r="G1" s="59" t="str">
        <x:v>Date</x:v>
      </x:c>
      <x:c r="H1" s="59" t="str">
        <x:v>Evidence / Reference</x:v>
      </x:c>
      <x:c r="I1" s="60" t="str">
        <x:v>Comments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2" customHeight="1">
      <x:c r="A2" s="88" t="str">
        <x:v>Electrical And Panel Checks</x:v>
      </x:c>
      <x:c r="B2" s="91" t="str">
        <x:v>E-01</x:v>
      </x:c>
      <x:c r="C2" s="80" t="str">
        <x:v>Verify panel drawings match installed hardware.</x:v>
      </x:c>
      <x:c r="D2" s="80" t="str">
        <x:v>Panel components, terminals, wire numbers, and field device labels match the latest approved drawings.</x:v>
      </x:c>
      <x:c r="E2" s="91" t="str"/>
      <x:c r="F2" s="80" t="str"/>
      <x:c r="G2" s="94" t="str"/>
      <x:c r="H2" s="80" t="str"/>
      <x:c r="I2" s="81" t="str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89" t="str">
        <x:v>Electrical And Panel Checks</x:v>
      </x:c>
      <x:c r="B3" s="92" t="str">
        <x:v>E-02</x:v>
      </x:c>
      <x:c r="C3" s="83" t="str">
        <x:v>Verify incomer, MCCB/fuse ratings, short-circuit rating, and cable sizes.</x:v>
      </x:c>
      <x:c r="D3" s="83" t="str">
        <x:v>Ratings are documented and suitable for the installed supply, VSDs, motors, and prospective fault level.</x:v>
      </x:c>
      <x:c r="E3" s="92" t="str"/>
      <x:c r="F3" s="83" t="str"/>
      <x:c r="G3" s="95" t="str"/>
      <x:c r="H3" s="83" t="str"/>
      <x:c r="I3" s="84" t="str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2" customHeight="1">
      <x:c r="A4" s="89" t="str">
        <x:v>Electrical And Panel Checks</x:v>
      </x:c>
      <x:c r="B4" s="92" t="str">
        <x:v>E-03</x:v>
      </x:c>
      <x:c r="C4" s="83" t="str">
        <x:v>Verify VSD input protection, line reactors, EMC filters, screened motor cable bonding, and earthing.</x:v>
      </x:c>
      <x:c r="D4" s="83" t="str">
        <x:v>Each VSD feeder is protected, bonded, and installed according to drive/manual/site requirements.</x:v>
      </x:c>
      <x:c r="E4" s="92" t="str"/>
      <x:c r="F4" s="83" t="str"/>
      <x:c r="G4" s="95" t="str"/>
      <x:c r="H4" s="83" t="str"/>
      <x:c r="I4" s="84" t="str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89" t="str">
        <x:v>Electrical And Panel Checks</x:v>
      </x:c>
      <x:c r="B5" s="92" t="str">
        <x:v>E-04</x:v>
      </x:c>
      <x:c r="C5" s="83" t="str">
        <x:v>Verify panel cooling for total VSD heat loss.</x:v>
      </x:c>
      <x:c r="D5" s="83" t="str">
        <x:v>Ventilation or cooling capacity is calculated, installed, and airflow path is unobstructed.</x:v>
      </x:c>
      <x:c r="E5" s="92" t="str"/>
      <x:c r="F5" s="83" t="str"/>
      <x:c r="G5" s="95" t="str"/>
      <x:c r="H5" s="83" t="str"/>
      <x:c r="I5" s="84" t="str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89" t="str">
        <x:v>Electrical And Panel Checks</x:v>
      </x:c>
      <x:c r="B6" s="92" t="str">
        <x:v>E-05</x:v>
      </x:c>
      <x:c r="C6" s="83" t="str">
        <x:v>Verify control power protection and 24 VDC loading.</x:v>
      </x:c>
      <x:c r="D6" s="83" t="str">
        <x:v>24 VDC supply load, protection, and segregation are acceptable with spare capacity documented.</x:v>
      </x:c>
      <x:c r="E6" s="92" t="str"/>
      <x:c r="F6" s="83" t="str"/>
      <x:c r="G6" s="95" t="str"/>
      <x:c r="H6" s="83" t="str"/>
      <x:c r="I6" s="84" t="str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89" t="str">
        <x:v>Electrical And Panel Checks</x:v>
      </x:c>
      <x:c r="B7" s="92" t="str">
        <x:v>E-06</x:v>
      </x:c>
      <x:c r="C7" s="83" t="str">
        <x:v>Verify motor nameplate parameters loaded into each VSD.</x:v>
      </x:c>
      <x:c r="D7" s="83" t="str">
        <x:v>Motor voltage, current, frequency, speed, power, and overload settings match each motor.</x:v>
      </x:c>
      <x:c r="E7" s="92" t="str"/>
      <x:c r="F7" s="83" t="str"/>
      <x:c r="G7" s="95" t="str"/>
      <x:c r="H7" s="83" t="str"/>
      <x:c r="I7" s="84" t="str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89" t="str">
        <x:v>Electrical And Panel Checks</x:v>
      </x:c>
      <x:c r="B8" s="92" t="str">
        <x:v>E-07</x:v>
      </x:c>
      <x:c r="C8" s="83" t="str">
        <x:v>Verify VSD acceleration/deceleration and stop mode settings.</x:v>
      </x:c>
      <x:c r="D8" s="83" t="str">
        <x:v>Ramp times and stop mode match the control philosophy and risk assessment.</x:v>
      </x:c>
      <x:c r="E8" s="92" t="str"/>
      <x:c r="F8" s="83" t="str"/>
      <x:c r="G8" s="95" t="str"/>
      <x:c r="H8" s="83" t="str"/>
      <x:c r="I8" s="84" t="str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89" t="str">
        <x:v>Safety Checks</x:v>
      </x:c>
      <x:c r="B9" s="92" t="str">
        <x:v>S-01</x:v>
      </x:c>
      <x:c r="C9" s="83" t="str">
        <x:v>Verify E-stop/safety chain removes torque through engineered safety hardware.</x:v>
      </x:c>
      <x:c r="D9" s="83" t="str">
        <x:v>STO, safety contactor, or approved safety method operates independently of standard PLC logic.</x:v>
      </x:c>
      <x:c r="E9" s="92" t="str"/>
      <x:c r="F9" s="83" t="str"/>
      <x:c r="G9" s="95" t="str"/>
      <x:c r="H9" s="83" t="str"/>
      <x:c r="I9" s="84" t="str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89" t="str">
        <x:v>Safety Checks</x:v>
      </x:c>
      <x:c r="B10" s="92" t="str">
        <x:v>S-02</x:v>
      </x:c>
      <x:c r="C10" s="83" t="str">
        <x:v>Verify standard PLC logic only monitors safety status and does not replace certified safety logic.</x:v>
      </x:c>
      <x:c r="D10" s="83" t="str">
        <x:v>Standard controller uses safety healthy as a permissive only; safety function is external or in safety task.</x:v>
      </x:c>
      <x:c r="E10" s="92" t="str"/>
      <x:c r="F10" s="83" t="str"/>
      <x:c r="G10" s="95" t="str"/>
      <x:c r="H10" s="83" t="str"/>
      <x:c r="I10" s="84" t="str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89" t="str">
        <x:v>Safety Checks</x:v>
      </x:c>
      <x:c r="B11" s="92" t="str">
        <x:v>S-03</x:v>
      </x:c>
      <x:c r="C11" s="83" t="str">
        <x:v>Verify reset clears faults only when safe and does not start any motor.</x:v>
      </x:c>
      <x:c r="D11" s="83" t="str">
        <x:v>After reset, all VSD run commands remain off until a fresh start command is issued.</x:v>
      </x:c>
      <x:c r="E11" s="92" t="str"/>
      <x:c r="F11" s="83" t="str"/>
      <x:c r="G11" s="95" t="str"/>
      <x:c r="H11" s="83" t="str"/>
      <x:c r="I11" s="84" t="str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89" t="str">
        <x:v>Safety Checks</x:v>
      </x:c>
      <x:c r="B12" s="92" t="str">
        <x:v>S-04</x:v>
      </x:c>
      <x:c r="C12" s="83" t="str">
        <x:v>Verify loss of safety healthy indication stops all VSD run commands.</x:v>
      </x:c>
      <x:c r="D12" s="83" t="str">
        <x:v>Dropping safety healthy removes all PLC run commands and latches/alarms as designed.</x:v>
      </x:c>
      <x:c r="E12" s="92" t="str"/>
      <x:c r="F12" s="83" t="str"/>
      <x:c r="G12" s="95" t="str"/>
      <x:c r="H12" s="83" t="str"/>
      <x:c r="I12" s="84" t="str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89" t="str">
        <x:v>Safety Checks</x:v>
      </x:c>
      <x:c r="B13" s="92" t="str">
        <x:v>S-05</x:v>
      </x:c>
      <x:c r="C13" s="83" t="str">
        <x:v>Verify local/keypad mode removes the VSD from automatic cascade.</x:v>
      </x:c>
      <x:c r="D13" s="83" t="str">
        <x:v>A VSD in local mode is marked unavailable and skipped by lead/stage selection.</x:v>
      </x:c>
      <x:c r="E13" s="92" t="str"/>
      <x:c r="F13" s="83" t="str"/>
      <x:c r="G13" s="95" t="str"/>
      <x:c r="H13" s="83" t="str"/>
      <x:c r="I13" s="84" t="str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2" customHeight="1">
      <x:c r="A14" s="89" t="str">
        <x:v>PLC Logic Checks</x:v>
      </x:c>
      <x:c r="B14" s="92" t="str">
        <x:v>P-01</x:v>
      </x:c>
      <x:c r="C14" s="83" t="str">
        <x:v>Verify task period and timer presets.</x:v>
      </x:c>
      <x:c r="D14" s="83" t="str">
        <x:v>Program runs in the intended periodic task and all timer presets match the design values.</x:v>
      </x:c>
      <x:c r="E14" s="92" t="str"/>
      <x:c r="F14" s="83" t="str"/>
      <x:c r="G14" s="95" t="str"/>
      <x:c r="H14" s="83" t="str"/>
      <x:c r="I14" s="84" t="str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2" customHeight="1">
      <x:c r="A15" s="89" t="str">
        <x:v>PLC Logic Checks</x:v>
      </x:c>
      <x:c r="B15" s="92" t="str">
        <x:v>P-02</x:v>
      </x:c>
      <x:c r="C15" s="83" t="str">
        <x:v>Verify MaxRunning is limited from 1 to 5.</x:v>
      </x:c>
      <x:c r="D15" s="83" t="str">
        <x:v>Operator/HMI entry cannot command zero drives or more than five running drives.</x:v>
      </x:c>
      <x:c r="E15" s="92" t="str"/>
      <x:c r="F15" s="83" t="str"/>
      <x:c r="G15" s="95" t="str"/>
      <x:c r="H15" s="83" t="str"/>
      <x:c r="I15" s="84" t="str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89" t="str">
        <x:v>PLC Logic Checks</x:v>
      </x:c>
      <x:c r="B16" s="92" t="str">
        <x:v>P-03</x:v>
      </x:c>
      <x:c r="C16" s="83" t="str">
        <x:v>Verify faulted, local, inhibited, or unavailable VSDs are skipped.</x:v>
      </x:c>
      <x:c r="D16" s="83" t="str">
        <x:v>Cascade selection never starts a VSD that is not available.</x:v>
      </x:c>
      <x:c r="E16" s="92" t="str"/>
      <x:c r="F16" s="83" t="str"/>
      <x:c r="G16" s="95" t="str"/>
      <x:c r="H16" s="83" t="str"/>
      <x:c r="I16" s="84" t="str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2" customHeight="1">
      <x:c r="A17" s="89" t="str">
        <x:v>PLC Logic Checks</x:v>
      </x:c>
      <x:c r="B17" s="92" t="str">
        <x:v>P-04</x:v>
      </x:c>
      <x:c r="C17" s="83" t="str">
        <x:v>Verify start fail timer latches trip when running feedback is absent.</x:v>
      </x:c>
      <x:c r="D17" s="83" t="str">
        <x:v>A commanded VSD without running feedback trips after the configured timeout.</x:v>
      </x:c>
      <x:c r="E17" s="92" t="str"/>
      <x:c r="F17" s="83" t="str"/>
      <x:c r="G17" s="95" t="str"/>
      <x:c r="H17" s="83" t="str"/>
      <x:c r="I17" s="84" t="str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2" customHeight="1">
      <x:c r="A18" s="89" t="str">
        <x:v>PLC Logic Checks</x:v>
      </x:c>
      <x:c r="B18" s="92" t="str">
        <x:v>P-05</x:v>
      </x:c>
      <x:c r="C18" s="83" t="str">
        <x:v>Verify min run and min stop timers prevent short cycling.</x:v>
      </x:c>
      <x:c r="D18" s="83" t="str">
        <x:v>A VSD cannot stop before minimum run time or restart before minimum stop time unless tripped.</x:v>
      </x:c>
      <x:c r="E18" s="92" t="str"/>
      <x:c r="F18" s="83" t="str"/>
      <x:c r="G18" s="95" t="str"/>
      <x:c r="H18" s="83" t="str"/>
      <x:c r="I18" s="84" t="str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2" customHeight="1">
      <x:c r="A19" s="89" t="str">
        <x:v>PLC Logic Checks</x:v>
      </x:c>
      <x:c r="B19" s="92" t="str">
        <x:v>P-06</x:v>
      </x:c>
      <x:c r="C19" s="83" t="str">
        <x:v>Verify stage-up and stage-down delays work under simulated demand.</x:v>
      </x:c>
      <x:c r="D19" s="83" t="str">
        <x:v>High demand starts one additional available VSD after delay; low demand stops one lag VSD after delay.</x:v>
      </x:c>
      <x:c r="E19" s="92" t="str"/>
      <x:c r="F19" s="83" t="str"/>
      <x:c r="G19" s="95" t="str"/>
      <x:c r="H19" s="83" t="str"/>
      <x:c r="I19" s="84" t="str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2" customHeight="1">
      <x:c r="A20" s="89" t="str">
        <x:v>PLC Logic Checks</x:v>
      </x:c>
      <x:c r="B20" s="92" t="str">
        <x:v>P-07</x:v>
      </x:c>
      <x:c r="C20" s="83" t="str">
        <x:v>Verify stage-down never stops the lead drive while lag drives are running.</x:v>
      </x:c>
      <x:c r="D20" s="83" t="str">
        <x:v>Lag drives are stopped first; lead remains running until it is the only running VSD or stop is requested.</x:v>
      </x:c>
      <x:c r="E20" s="92" t="str"/>
      <x:c r="F20" s="83" t="str"/>
      <x:c r="G20" s="95" t="str"/>
      <x:c r="H20" s="83" t="str"/>
      <x:c r="I20" s="84" t="str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2" customHeight="1">
      <x:c r="A21" s="89" t="str">
        <x:v>PLC Logic Checks</x:v>
      </x:c>
      <x:c r="B21" s="92" t="str">
        <x:v>P-08</x:v>
      </x:c>
      <x:c r="C21" s="83" t="str">
        <x:v>Verify no duplicate writers exist for each VSD run command.</x:v>
      </x:c>
      <x:c r="D21" s="83" t="str">
        <x:v>Each physical run command is written once in the I/O mapping routine.</x:v>
      </x:c>
      <x:c r="E21" s="92" t="str"/>
      <x:c r="F21" s="83" t="str"/>
      <x:c r="G21" s="95" t="str"/>
      <x:c r="H21" s="83" t="str"/>
      <x:c r="I21" s="84" t="str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2" customHeight="1">
      <x:c r="A22" s="89" t="str">
        <x:v>PLC Logic Checks</x:v>
      </x:c>
      <x:c r="B22" s="92" t="str">
        <x:v>P-09</x:v>
      </x:c>
      <x:c r="C22" s="83" t="str">
        <x:v>Verify commands are mapped once in an I/O mapping routine.</x:v>
      </x:c>
      <x:c r="D22" s="83" t="str">
        <x:v>Drive input/output mapping is isolated from cascade logic.</x:v>
      </x:c>
      <x:c r="E22" s="92" t="str"/>
      <x:c r="F22" s="83" t="str"/>
      <x:c r="G22" s="95" t="str"/>
      <x:c r="H22" s="83" t="str"/>
      <x:c r="I22" s="84" t="str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2" customHeight="1">
      <x:c r="A23" s="89" t="str">
        <x:v>Process Checks</x:v>
      </x:c>
      <x:c r="B23" s="92" t="str">
        <x:v>R-01</x:v>
      </x:c>
      <x:c r="C23" s="83" t="str">
        <x:v>Tune PID/PIDE loop with one VSD first.</x:v>
      </x:c>
      <x:c r="D23" s="83" t="str">
        <x:v>Single-drive loop controls the process variable stably before cascade staging is enabled.</x:v>
      </x:c>
      <x:c r="E23" s="92" t="str"/>
      <x:c r="F23" s="83" t="str"/>
      <x:c r="G23" s="95" t="str"/>
      <x:c r="H23" s="83" t="str"/>
      <x:c r="I23" s="84" t="str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2" customHeight="1">
      <x:c r="A24" s="89" t="str">
        <x:v>Process Checks</x:v>
      </x:c>
      <x:c r="B24" s="92" t="str">
        <x:v>R-02</x:v>
      </x:c>
      <x:c r="C24" s="83" t="str">
        <x:v>Confirm cascade stage-up threshold and delay.</x:v>
      </x:c>
      <x:c r="D24" s="83" t="str">
        <x:v>Additional VSD starts only after demand exceeds threshold for the configured delay.</x:v>
      </x:c>
      <x:c r="E24" s="92" t="str"/>
      <x:c r="F24" s="83" t="str"/>
      <x:c r="G24" s="95" t="str"/>
      <x:c r="H24" s="83" t="str"/>
      <x:c r="I24" s="84" t="str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2" customHeight="1">
      <x:c r="A25" s="89" t="str">
        <x:v>Process Checks</x:v>
      </x:c>
      <x:c r="B25" s="92" t="str">
        <x:v>R-03</x:v>
      </x:c>
      <x:c r="C25" s="83" t="str">
        <x:v>Confirm cascade stage-down threshold and delay.</x:v>
      </x:c>
      <x:c r="D25" s="83" t="str">
        <x:v>Lag VSD stops only after demand falls below threshold for the configured delay.</x:v>
      </x:c>
      <x:c r="E25" s="92" t="str"/>
      <x:c r="F25" s="83" t="str"/>
      <x:c r="G25" s="95" t="str"/>
      <x:c r="H25" s="83" t="str"/>
      <x:c r="I25" s="84" t="str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2" customHeight="1">
      <x:c r="A26" s="89" t="str">
        <x:v>Process Checks</x:v>
      </x:c>
      <x:c r="B26" s="92" t="str">
        <x:v>R-04</x:v>
      </x:c>
      <x:c r="C26" s="83" t="str">
        <x:v>Verify pressure/flow/level transmitter scaling and bad-quality behavior.</x:v>
      </x:c>
      <x:c r="D26" s="83" t="str">
        <x:v>PV scaling matches engineering units and bad signal quality fails to the defined safe/control state.</x:v>
      </x:c>
      <x:c r="E26" s="92" t="str"/>
      <x:c r="F26" s="83" t="str"/>
      <x:c r="G26" s="95" t="str"/>
      <x:c r="H26" s="83" t="str"/>
      <x:c r="I26" s="84" t="str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42" customHeight="1">
      <x:c r="A27" s="89" t="str">
        <x:v>Process Checks</x:v>
      </x:c>
      <x:c r="B27" s="92" t="str">
        <x:v>R-05</x:v>
      </x:c>
      <x:c r="C27" s="83" t="str">
        <x:v>Verify all HMI commands, setpoints, limits, and alarms.</x:v>
      </x:c>
      <x:c r="D27" s="83" t="str">
        <x:v>HMI displays correct state, allows only valid entries, and shows actionable alarms.</x:v>
      </x:c>
      <x:c r="E27" s="92" t="str"/>
      <x:c r="F27" s="83" t="str"/>
      <x:c r="G27" s="95" t="str"/>
      <x:c r="H27" s="83" t="str"/>
      <x:c r="I27" s="84" t="str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2" customHeight="1">
      <x:c r="A28" s="89" t="str">
        <x:v>Acceptance Tests</x:v>
      </x:c>
      <x:c r="B28" s="92" t="str">
        <x:v>A-01</x:v>
      </x:c>
      <x:c r="C28" s="83" t="str">
        <x:v>Start with only VSD01 available.</x:v>
      </x:c>
      <x:c r="D28" s="83" t="str">
        <x:v>VSD01 becomes lead, starts, proves running, and receives speed reference.</x:v>
      </x:c>
      <x:c r="E28" s="92" t="str"/>
      <x:c r="F28" s="83" t="str"/>
      <x:c r="G28" s="95" t="str"/>
      <x:c r="H28" s="83" t="str"/>
      <x:c r="I28" s="84" t="str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2" customHeight="1">
      <x:c r="A29" s="89" t="str">
        <x:v>Acceptance Tests</x:v>
      </x:c>
      <x:c r="B29" s="92" t="str">
        <x:v>A-02</x:v>
      </x:c>
      <x:c r="C29" s="83" t="str">
        <x:v>Start with each individual VSD as the only available drive.</x:v>
      </x:c>
      <x:c r="D29" s="83" t="str">
        <x:v>Each VSD can independently act as lead when it is the only available drive.</x:v>
      </x:c>
      <x:c r="E29" s="92" t="str"/>
      <x:c r="F29" s="83" t="str"/>
      <x:c r="G29" s="95" t="str"/>
      <x:c r="H29" s="83" t="str"/>
      <x:c r="I29" s="84" t="str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2" customHeight="1">
      <x:c r="A30" s="89" t="str">
        <x:v>Acceptance Tests</x:v>
      </x:c>
      <x:c r="B30" s="92" t="str">
        <x:v>A-03</x:v>
      </x:c>
      <x:c r="C30" s="83" t="str">
        <x:v>Start with two, three, four, and five available drives.</x:v>
      </x:c>
      <x:c r="D30" s="83" t="str">
        <x:v>Cascade starts and stages only the available drives up to MaxRunning.</x:v>
      </x:c>
      <x:c r="E30" s="92" t="str"/>
      <x:c r="F30" s="83" t="str"/>
      <x:c r="G30" s="95" t="str"/>
      <x:c r="H30" s="83" t="str"/>
      <x:c r="I30" s="84" t="str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2" customHeight="1">
      <x:c r="A31" s="89" t="str">
        <x:v>Acceptance Tests</x:v>
      </x:c>
      <x:c r="B31" s="92" t="str">
        <x:v>A-04</x:v>
      </x:c>
      <x:c r="C31" s="83" t="str">
        <x:v>Force a running VSD fault and confirm trip/cascade response.</x:v>
      </x:c>
      <x:c r="D31" s="83" t="str">
        <x:v>Faulted VSD stops, latches fault, and remaining response matches the approved philosophy.</x:v>
      </x:c>
      <x:c r="E31" s="92" t="str"/>
      <x:c r="F31" s="83" t="str"/>
      <x:c r="G31" s="95" t="str"/>
      <x:c r="H31" s="83" t="str"/>
      <x:c r="I31" s="84" t="str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2" customHeight="1">
      <x:c r="A32" s="89" t="str">
        <x:v>Acceptance Tests</x:v>
      </x:c>
      <x:c r="B32" s="92" t="str">
        <x:v>A-05</x:v>
      </x:c>
      <x:c r="C32" s="83" t="str">
        <x:v>Put a lag VSD in local mode and confirm it is skipped.</x:v>
      </x:c>
      <x:c r="D32" s="83" t="str">
        <x:v>Local VSD is unavailable and not selected for staging.</x:v>
      </x:c>
      <x:c r="E32" s="92" t="str"/>
      <x:c r="F32" s="83" t="str"/>
      <x:c r="G32" s="95" t="str"/>
      <x:c r="H32" s="83" t="str"/>
      <x:c r="I32" s="84" t="str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42" customHeight="1">
      <x:c r="A33" s="89" t="str">
        <x:v>Acceptance Tests</x:v>
      </x:c>
      <x:c r="B33" s="92" t="str">
        <x:v>A-06</x:v>
      </x:c>
      <x:c r="C33" s="83" t="str">
        <x:v>Put the lead VSD in local/fault and confirm no hidden restart occurs.</x:v>
      </x:c>
      <x:c r="D33" s="83" t="str">
        <x:v>Lead loss does not cause unsafe automatic restart; operator-approved recovery is required.</x:v>
      </x:c>
      <x:c r="E33" s="92" t="str"/>
      <x:c r="F33" s="83" t="str"/>
      <x:c r="G33" s="95" t="str"/>
      <x:c r="H33" s="83" t="str"/>
      <x:c r="I33" s="84" t="str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42" customHeight="1">
      <x:c r="A34" s="89" t="str">
        <x:v>Acceptance Tests</x:v>
      </x:c>
      <x:c r="B34" s="92" t="str">
        <x:v>A-07</x:v>
      </x:c>
      <x:c r="C34" s="83" t="str">
        <x:v>Simulate high demand and confirm staging up.</x:v>
      </x:c>
      <x:c r="D34" s="83" t="str">
        <x:v>Speed demand above StageOnSpeed for StageOnDelay starts exactly one next available VSD.</x:v>
      </x:c>
      <x:c r="E34" s="92" t="str"/>
      <x:c r="F34" s="83" t="str"/>
      <x:c r="G34" s="95" t="str"/>
      <x:c r="H34" s="83" t="str"/>
      <x:c r="I34" s="84" t="str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42" customHeight="1">
      <x:c r="A35" s="89" t="str">
        <x:v>Acceptance Tests</x:v>
      </x:c>
      <x:c r="B35" s="92" t="str">
        <x:v>A-08</x:v>
      </x:c>
      <x:c r="C35" s="83" t="str">
        <x:v>Simulate low demand and confirm staging down.</x:v>
      </x:c>
      <x:c r="D35" s="83" t="str">
        <x:v>Speed demand below StageOffSpeed for StageOffDelay stops exactly one lag VSD.</x:v>
      </x:c>
      <x:c r="E35" s="92" t="str"/>
      <x:c r="F35" s="83" t="str"/>
      <x:c r="G35" s="95" t="str"/>
      <x:c r="H35" s="83" t="str"/>
      <x:c r="I35" s="84" t="str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42" customHeight="1">
      <x:c r="A36" s="89" t="str">
        <x:v>Acceptance Tests</x:v>
      </x:c>
      <x:c r="B36" s="92" t="str">
        <x:v>A-09</x:v>
      </x:c>
      <x:c r="C36" s="83" t="str">
        <x:v>Press E-stop and verify hardware stop plus PLC command removal.</x:v>
      </x:c>
      <x:c r="D36" s="83" t="str">
        <x:v>Safety hardware removes torque and PLC removes all VSD run commands.</x:v>
      </x:c>
      <x:c r="E36" s="92" t="str"/>
      <x:c r="F36" s="83" t="str"/>
      <x:c r="G36" s="95" t="str"/>
      <x:c r="H36" s="83" t="str"/>
      <x:c r="I36" s="84" t="str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42" customHeight="1">
      <x:c r="A37" s="90" t="str">
        <x:v>Acceptance Tests</x:v>
      </x:c>
      <x:c r="B37" s="93" t="str">
        <x:v>A-10</x:v>
      </x:c>
      <x:c r="C37" s="86" t="str">
        <x:v>Reset after trip and confirm a fresh start command is required.</x:v>
      </x:c>
      <x:c r="D37" s="86" t="str">
        <x:v>Reset clears eligible trips without energizing any motor.</x:v>
      </x:c>
      <x:c r="E37" s="93" t="str"/>
      <x:c r="F37" s="86" t="str"/>
      <x:c r="G37" s="96" t="str"/>
      <x:c r="H37" s="86" t="str"/>
      <x:c r="I37" s="87" t="str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dataValidations count="1">
    <x:dataValidation type="list" allowBlank="1" showDropDown="0" sqref="E2:E37">
      <x:formula1>"Not Started,Pass,Fail,N/A,Deferred"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3" max="3" width="14.4399995803833" hidden="0" customWidth="1"/>
    <x:col min="4" max="4" width="33.33000183105469" hidden="0" customWidth="1"/>
  </x:cols>
  <x:sheetData>
    <x:row r="1">
      <x:c r="A1" s="100" t="str">
        <x:v>Status Values</x:v>
      </x:c>
      <x:c r="B1" s="1"/>
      <x:c r="C1" s="48" t="str">
        <x:v>Status</x:v>
      </x:c>
      <x:c r="D1" s="48" t="str">
        <x:v>Meaning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1" t="str">
        <x:v>Not Started</x:v>
      </x:c>
      <x:c r="B2" s="1"/>
      <x:c r="C2" s="70" t="str">
        <x:v>Not Started</x:v>
      </x:c>
      <x:c r="D2" s="72" t="str">
        <x:v>Item has not yet been checked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1" t="str">
        <x:v>Pass</x:v>
      </x:c>
      <x:c r="B3" s="1"/>
      <x:c r="C3" s="73" t="str">
        <x:v>Pass</x:v>
      </x:c>
      <x:c r="D3" s="75" t="str">
        <x:v>Item passed and evidence/comments are complete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1" t="str">
        <x:v>Fail</x:v>
      </x:c>
      <x:c r="B4" s="1"/>
      <x:c r="C4" s="73" t="str">
        <x:v>Fail</x:v>
      </x:c>
      <x:c r="D4" s="75" t="str">
        <x:v>Item failed and corrective action is required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1" t="str">
        <x:v>N/A</x:v>
      </x:c>
      <x:c r="B5" s="1"/>
      <x:c r="C5" s="73" t="str">
        <x:v>N/A</x:v>
      </x:c>
      <x:c r="D5" s="75" t="str">
        <x:v>Item is not applicable to this installation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2" t="str">
        <x:v>Deferred</x:v>
      </x:c>
      <x:c r="B6" s="1"/>
      <x:c r="C6" s="76" t="str">
        <x:v>Deferred</x:v>
      </x:c>
      <x:c r="D6" s="78" t="str">
        <x:v>Item is accepted for later close-out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